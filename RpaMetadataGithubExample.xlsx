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iroau-my.sharepoint.com/personal/eck025_csiro_au/Documents/Python notebooks/RPAWorkflow/"/>
    </mc:Choice>
  </mc:AlternateContent>
  <xr:revisionPtr revIDLastSave="0" documentId="8_{8A9E71E5-CBA9-4B6B-B244-6EAD060A5238}" xr6:coauthVersionLast="47" xr6:coauthVersionMax="47" xr10:uidLastSave="{00000000-0000-0000-0000-000000000000}"/>
  <bookViews>
    <workbookView xWindow="4380" yWindow="2280" windowWidth="21600" windowHeight="12510" activeTab="1" xr2:uid="{FC9C7C44-7091-42DA-B7BF-AC2DC3032C4B}"/>
  </bookViews>
  <sheets>
    <sheet name="Flight details" sheetId="1" r:id="rId1"/>
    <sheet name="ReachCorrectionsAusP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C16" i="1"/>
  <c r="G15" i="1"/>
  <c r="C15" i="1"/>
  <c r="G14" i="1"/>
  <c r="C14" i="1"/>
  <c r="G13" i="1"/>
  <c r="C13" i="1"/>
  <c r="G12" i="1"/>
  <c r="C12" i="1"/>
  <c r="G11" i="1"/>
  <c r="C11" i="1"/>
  <c r="G10" i="1"/>
  <c r="C10" i="1"/>
  <c r="G9" i="1"/>
  <c r="C9" i="1"/>
  <c r="G8" i="1"/>
  <c r="C8" i="1"/>
  <c r="G7" i="1"/>
  <c r="C7" i="1"/>
  <c r="G6" i="1"/>
  <c r="C6" i="1"/>
  <c r="C5" i="1"/>
  <c r="C4" i="1"/>
  <c r="C3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tc={C41ADDC9-5103-4D0F-A40C-9CD14A5BD3BD}</author>
    <author>tc={69813A2E-5F4F-48EC-B90C-59DD140ADDDD}</author>
  </authors>
  <commentList>
    <comment ref="B1" authorId="0" shapeId="0" xr:uid="{C41ADDC9-5103-4D0F-A40C-9CD14A5BD3B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flight number should be some kind of uniform area defined in the flight path folder. RGB or MS is camera details. Final number is flight height.
Reply:
    Should correspond to the raw data in "H:\ecology\08_Phase2_GBINCB\02_FieldData\00_NEW STRUCTURE\08_RPAData\RawFlightData"
Reply:
    Use this format:
SITE_F01_HTm_YYMMDD
Aka:
DG_F01_40m - added a column that adds yymmdd</t>
      </text>
    </comment>
    <comment ref="R1" authorId="1" shapeId="0" xr:uid="{69813A2E-5F4F-48EC-B90C-59DD140ADD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Where there are multiple rinex logs from one day, create a new folder in the raw data dir and copy everything over, it should be named as per the first file with _merged appended to the end: e.g.,
BaseStationRaw\reach01-ECE_raw_202505120210_RINEX_3_01_merged
 </t>
      </text>
    </comment>
  </commentList>
</comments>
</file>

<file path=xl/sharedStrings.xml><?xml version="1.0" encoding="utf-8"?>
<sst xmlns="http://schemas.openxmlformats.org/spreadsheetml/2006/main" count="210" uniqueCount="138">
  <si>
    <t>CR</t>
  </si>
  <si>
    <t>CR-F05-60m</t>
  </si>
  <si>
    <t>JE</t>
  </si>
  <si>
    <t>Clear</t>
  </si>
  <si>
    <t>DJI_M3E_RTK_MS</t>
  </si>
  <si>
    <t>CR-F04-40m</t>
  </si>
  <si>
    <t>CR-F02-60m</t>
  </si>
  <si>
    <t>CR-F01-40m</t>
  </si>
  <si>
    <t>MS</t>
  </si>
  <si>
    <t>MS-F11-60m</t>
  </si>
  <si>
    <t>MS-F10-40m</t>
  </si>
  <si>
    <t>MS-F08-60m</t>
  </si>
  <si>
    <t>MS-F07-40m</t>
  </si>
  <si>
    <t>MS-F01-40m</t>
  </si>
  <si>
    <t>MS-F02-60m</t>
  </si>
  <si>
    <t>MS-F05-60m</t>
  </si>
  <si>
    <t>MS-F04-40m</t>
  </si>
  <si>
    <t>DG</t>
  </si>
  <si>
    <t>DG-F01-40m</t>
  </si>
  <si>
    <t>DG-F02-60m</t>
  </si>
  <si>
    <t>DG-F05-60m</t>
  </si>
  <si>
    <t>Pushing it for VLOS on this path</t>
  </si>
  <si>
    <t>Site</t>
  </si>
  <si>
    <t>Path code</t>
  </si>
  <si>
    <t>Flight code</t>
  </si>
  <si>
    <t>Field / processing comments</t>
  </si>
  <si>
    <t>Pilot</t>
  </si>
  <si>
    <t>Date</t>
  </si>
  <si>
    <t>Start time</t>
  </si>
  <si>
    <t>End time</t>
  </si>
  <si>
    <t>Sky_conditions</t>
  </si>
  <si>
    <t>Height</t>
  </si>
  <si>
    <t>Path_angle</t>
  </si>
  <si>
    <t>Superseded</t>
  </si>
  <si>
    <t>GCP_present</t>
  </si>
  <si>
    <t>Camera</t>
  </si>
  <si>
    <t>Calibration_img_before</t>
  </si>
  <si>
    <t>Calibration_img_after</t>
  </si>
  <si>
    <t>Raw_data_dir</t>
  </si>
  <si>
    <t>Base_log_path</t>
  </si>
  <si>
    <t>Base_corrected_CSRS</t>
  </si>
  <si>
    <t>Base_corrected_Auspos</t>
  </si>
  <si>
    <t>ExifCorrectedImagePath</t>
  </si>
  <si>
    <t>Notes</t>
  </si>
  <si>
    <t>C:\ExamplePath\RawFlightData\DJI_202505091014_001</t>
  </si>
  <si>
    <t>C:\ExamplePath\RawFlightData\DJI_202505091014_002_CR-F05-60m-a;C:\ExamplePath\RawFlightData\DJI_202505091041_003_CR-F05-60m-b</t>
  </si>
  <si>
    <t>C:\ExamplePath\BaseStationRaw\reach01-ECE_raw_202505090034_RINEX_3_01</t>
  </si>
  <si>
    <t>C:\ExamplePath\PPKCorrectedFlightData\DJI_202505091014_002_CR-F05-60m-a;C:\ExamplePath\PPKCorrectedFlightData\DJI_202505091041_003_CR-F05-60m-b</t>
  </si>
  <si>
    <t>C:\ExamplePath\RawFlightData\DJI_202505091122_005</t>
  </si>
  <si>
    <t>C:\ExamplePath\RawFlightData\DJI_202505091148_007</t>
  </si>
  <si>
    <t>C:\ExamplePath\RawFlightData\DJI_202505091052_004_CR-F04-40m-a;C:\ExamplePath\RawFlightData\DJI_202505091122_006_CR-F04-40m-b</t>
  </si>
  <si>
    <t>C:\ExamplePath\PPKCorrectedFlightData\DJI_202505091052_004_CR-F04-40m-a;C:\ExamplePath\PPKCorrectedFlightData\DJI_202505091122_006_CR-F04-40m-b</t>
  </si>
  <si>
    <t>C:\ExamplePath\RawFlightData\DJI_202505091215_002</t>
  </si>
  <si>
    <t>C:\ExamplePath\RawFlightData\DJI_202505091148_001_CR-F02-60m-a;C:\ExamplePath\RawFlightData\DJI_202505091148_008_CR-F02-60m-b</t>
  </si>
  <si>
    <t>C:\ExamplePath\PPKCorrectedFlightData\DJI_202505091148_001_CR-F02-60m-a;C:\ExamplePath\PPKCorrectedFlightData\DJI_202505091148_008_CR-F02-60m-b</t>
  </si>
  <si>
    <t>C:\ExamplePath\RawFlightData\DJI_202505091215_004</t>
  </si>
  <si>
    <t>C:\ExamplePath\RawFlightData\DJI_202505091215_003_CR-F01-40m</t>
  </si>
  <si>
    <t>C:\ExamplePath\PPKCorrectedFlightData\DJI_202505091215_003_CR-F01-40m</t>
  </si>
  <si>
    <t>C:\ExamplePath\RawFlightData\DJI_202505121007_001</t>
  </si>
  <si>
    <t>C:\ExamplePath\RawFlightData\DJI_202505121037_003</t>
  </si>
  <si>
    <t>C:\ExamplePath\RawFlightData\DJI_202505121007_002_MS-F11-60m</t>
  </si>
  <si>
    <t>C:\ExamplePath\BaseStationRaw\reach01-ECE_raw_202505120210_RINEX_3_01</t>
  </si>
  <si>
    <t>C:\ExamplePath\PPKCorrectedFlightData\DJI_202505121007_002_MS-F11-60m</t>
  </si>
  <si>
    <t>C:\ExamplePath\RawFlightData\DJI_202505121037_005</t>
  </si>
  <si>
    <t>C:\ExamplePath\RawFlightData\DJI_202505121037_004_MS-F10-40m</t>
  </si>
  <si>
    <t>C:\ExamplePath\PPKCorrectedFlightData\DJI_202505121037_004_MS-F10-40m</t>
  </si>
  <si>
    <t>C:\ExamplePath\RawFlightData\DJI_202505121202_006</t>
  </si>
  <si>
    <t>C:\ExamplePath\RawFlightData\DJI_202505121202_009</t>
  </si>
  <si>
    <t>C:\ExamplePath\RawFlightData\DJI_202505121202_007_MS-F08-60m; C:\ExamplePath\RawFlightData\DJI_202505121202_008_MS-F08-60m</t>
  </si>
  <si>
    <t>C:\ExamplePath\PPKCorrectedFlightData\DJI_202505121202_007_MS-F08-60m;C:\ExamplePath\PPKCorrectedFlightData\DJI_202505121202_008_MS-F08-60m</t>
  </si>
  <si>
    <t>C:\ExamplePath\RawFlightData\DJI_202505121247_010</t>
  </si>
  <si>
    <t>C:\ExamplePath\RawFlightData\DJI_202505121316_012</t>
  </si>
  <si>
    <t>C:\ExamplePath\RawFlightData\DJI_202505121247_011_MS-F07-40m</t>
  </si>
  <si>
    <t>C:\ExamplePath\PPKCorrectedFlightData\DJI_202505121247_011_MS-F07-40m</t>
  </si>
  <si>
    <t>C:\ExamplePath\RawFlightData\DJI_202505131012_013</t>
  </si>
  <si>
    <t>C:\ExamplePath\RawFlightData\DJI_202505131049_015</t>
  </si>
  <si>
    <t>C:\ExamplePath\RawFlightData\DJI_202505131012_014_MS-F01-40m</t>
  </si>
  <si>
    <t>C:\ExamplePath\BaseStationRaw\reach01-ECE_raw_202505130017_RINEX_3_01</t>
  </si>
  <si>
    <t>C:\ExamplePath\PPKCorrectedFlightData\DJI_202505131012_014_MS-F01-40m</t>
  </si>
  <si>
    <t>C:\ExamplePath\RawFlightData\DJI_202505131049_017</t>
  </si>
  <si>
    <t>C:\ExamplePath\RawFlightData\DJI_202505131049_016_MS-F02-60m</t>
  </si>
  <si>
    <t>C:\ExamplePath\PPKCorrectedFlightData\DJI_202505131049_016_MS-F02-60m</t>
  </si>
  <si>
    <t>C:\ExamplePath\RawFlightData\DJI_202505131224_019</t>
  </si>
  <si>
    <t>C:\ExamplePath\RawFlightData\DJI_202505131224_018_MS-F05-60m</t>
  </si>
  <si>
    <t>C:\ExamplePath\PPKCorrectedFlightData\DJI_202505131224_018_MS-F05-60m</t>
  </si>
  <si>
    <t>C:\ExamplePath\RawFlightData\DJI_202505131255_022</t>
  </si>
  <si>
    <t>C:\ExamplePath\RawFlightData\DJI_202505131255_020_MS-F04-40m;C:\ExamplePath\RawFlightData\DJI_202505131255_021_MS-F04-40m</t>
  </si>
  <si>
    <t>C:\ExamplePath\PPKCorrectedFlightData\DJI_202505131255_020_MS-F04-40m;C:\ExamplePath\PPKCorrectedFlightData\DJI_202505131255_021_MS-F04-40m</t>
  </si>
  <si>
    <t>\\nexus\csiro\HB\ECE\PASSIFLORA\ecology\08_Phase2_GB"C:\ExamplePath\RawFlightData\DJI_202505181013_002_DG-F01-40m"INCB\02_FieldData\00_NEW STRUCTURE\08_RPAData\RawFlightData\DJI_202505181006_001</t>
  </si>
  <si>
    <t>C:\ExamplePath\RawFlightData\DJI_202505181043_003</t>
  </si>
  <si>
    <t>C:\ExamplePath\RawFlightData\DJI_202505181013_002_DG-F01-40m</t>
  </si>
  <si>
    <t>C:\ExamplePath\BaseStationRaw\reach01-ECE_raw_202505180131_RINEX_3_01</t>
  </si>
  <si>
    <t>C:\ExamplePath\PPKCorrectedFlightData\DJI_202505181013_002_DG-F01-40m</t>
  </si>
  <si>
    <t>C:\ExamplePath\RawFlightData\DJI_202505181053_005</t>
  </si>
  <si>
    <t>C:\ExamplePath\RawFlightData\DJI_202505181053_004_DG-F02-60m</t>
  </si>
  <si>
    <t>C:\ExamplePath\PPKCorrectedFlightData\DJI_202505181053_004_DG-F02-60m</t>
  </si>
  <si>
    <t>C:\ExamplePath\RawFlightData\DJI_202505181153_006</t>
  </si>
  <si>
    <t>C:\ExamplePath\RawFlightData\DJI_202505181234_008</t>
  </si>
  <si>
    <t>C:\ExamplePath\RawFlightData\DJI_202505181153_007_DG-F05-60m</t>
  </si>
  <si>
    <t>C:\ExamplePath\PPKCorrectedFlightData\DJI_202505181153_007_DG-F05-60m</t>
  </si>
  <si>
    <t>File</t>
  </si>
  <si>
    <t>DateTimeStart_GMT-00</t>
  </si>
  <si>
    <t>DateTimeEnd_GMT-00</t>
  </si>
  <si>
    <t>DateTimeStart_GMT+08</t>
  </si>
  <si>
    <t>DateTimeEnd_GMT+08</t>
  </si>
  <si>
    <t>Sensor_height_measured_cm</t>
  </si>
  <si>
    <t>X_GDA2020_m</t>
  </si>
  <si>
    <t>Y_GDA2020_m</t>
  </si>
  <si>
    <t>Z_GDA2020_m</t>
  </si>
  <si>
    <t>Latitude_DMS</t>
  </si>
  <si>
    <t>Longitude_DMS</t>
  </si>
  <si>
    <t>Ellipsoidal_Height_m</t>
  </si>
  <si>
    <t>Derived_AHD_m</t>
  </si>
  <si>
    <t>East_MGA_m</t>
  </si>
  <si>
    <t>North_MGA_m</t>
  </si>
  <si>
    <t>MGA_Zone</t>
  </si>
  <si>
    <t>Ellipsoidal_height_MGA_m</t>
  </si>
  <si>
    <t>Derived_AHD_MGA_m</t>
  </si>
  <si>
    <t>Uncertainty_east_m</t>
  </si>
  <si>
    <t>Uncertainty_North_m</t>
  </si>
  <si>
    <t>Uncertainty_horiz_m</t>
  </si>
  <si>
    <t>Uncertainty_Height_m</t>
  </si>
  <si>
    <t>Uncertainty_AHD_m</t>
  </si>
  <si>
    <t>reach01-ECE_raw_202504080342</t>
  </si>
  <si>
    <t>-32 16 44.45466</t>
  </si>
  <si>
    <t>115 50 52.25003</t>
  </si>
  <si>
    <t>reach01-ECE_raw_202505090034</t>
  </si>
  <si>
    <t>-22 01 57.19229</t>
  </si>
  <si>
    <t>113 55 34.83041</t>
  </si>
  <si>
    <t>reach01-ECE_raw_202505120210</t>
  </si>
  <si>
    <t>-21 36 49.75796</t>
  </si>
  <si>
    <t>117 06 11.95965</t>
  </si>
  <si>
    <t>reach01-ECE_raw_202505130017</t>
  </si>
  <si>
    <t>-21 35 16.84573</t>
  </si>
  <si>
    <t>117 04 03.54876</t>
  </si>
  <si>
    <t>reach01-ECE_raw_202505180131</t>
  </si>
  <si>
    <t>-18 06 20.92236</t>
  </si>
  <si>
    <t>125 41 38.12059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</si>
</sst>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ckersley, Jake (H&amp;B, Floreat)" id="{B816814B-E13F-4C89-9744-B5A414CAE0B6}" userId="S::eck025@csiro.au::113311f7-0cbf-4eae-8a82-063a0cc8246b" providerId="AD"/>
  <person displayName="Jake Eckersley" id="{F130D573-0670-495A-A9A7-BF9D01903174}" userId="S::22064705@student.uwa.edu.au::e5b23f17-f465-48e7-b7ad-096e2da720f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3-07T02:31:12.16" personId="{F130D573-0670-495A-A9A7-BF9D01903174}" id="{C41ADDC9-5103-4D0F-A40C-9CD14A5BD3BD}">
    <text>The flight number should be some kind of uniform area defined in the flight path folder. RGB or MS is camera details. Final number is flight height.</text>
  </threadedComment>
  <threadedComment ref="B1" dT="2025-04-09T09:20:22.46" personId="{B816814B-E13F-4C89-9744-B5A414CAE0B6}" id="{3BFAAF33-083D-4369-B357-F788BE2AFDCD}" parentId="{C41ADDC9-5103-4D0F-A40C-9CD14A5BD3BD}">
    <text>Should correspond to the raw data in "H:\ecology\08_Phase2_GBINCB\02_FieldData\00_NEW STRUCTURE\08_RPAData\RawFlightData"</text>
    <extLst>
      <x:ext xmlns:xltc2="http://schemas.microsoft.com/office/spreadsheetml/2020/threadedcomments2" uri="{F7C98A9C-CBB3-438F-8F68-D28B6AF4A901}">
        <xltc2:checksum>3257861128</xltc2:checksum>
        <xltc2:hyperlink startIndex="38" length="82" url="H:\ecology\08_Phase2_GBINCB\02_FieldData\00_NEW STRUCTURE\08_RPAData\RawFlightData"/>
      </x:ext>
    </extLst>
  </threadedComment>
  <threadedComment ref="B1" dT="2025-04-17T06:42:23.80" personId="{B816814B-E13F-4C89-9744-B5A414CAE0B6}" id="{40D0FF45-0B9B-432B-877E-EEAC3FF7DF6D}" parentId="{C41ADDC9-5103-4D0F-A40C-9CD14A5BD3BD}">
    <text>Use this format:
SITE_F01_HTm_YYMMDD
Aka:
DG_F01_40m - added a column that adds yymmdd</text>
  </threadedComment>
  <threadedComment ref="R1" dT="2025-12-03T13:00:50.34" personId="{B816814B-E13F-4C89-9744-B5A414CAE0B6}" id="{69813A2E-5F4F-48EC-B90C-59DD140ADDDD}">
    <text xml:space="preserve">Where there are multiple rinex logs from one day, create a new folder in the raw data dir and copy everything over, it should be named as per the first file with _merged appended to the end: e.g.,
BaseStationRaw\reach01-ECE_raw_202505120210_RINEX_3_01_merged
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eck025\AppData\Roaming\Microsoft\Excel\BaseStationRaw\reach01-ECE_raw_202505130017_RINEX_3_01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file:///C:\Users\eck025\AppData\Roaming\Microsoft\Excel\RawFlightData\DJI_202505091148_001_CR-F02-60m-a;\nexus\csiro\HB\ECE\PASSIFLORA\ecology\08_Phase2_GBINCB\02_FieldData\00_NEW%20STRUCTURE\08_RPAData\RawFlightData\DJI_202505091148_008_CR-F02-60m-b" TargetMode="External"/><Relationship Id="rId1" Type="http://schemas.openxmlformats.org/officeDocument/2006/relationships/hyperlink" Target="file:///C:\Users\eck025\AppData\Roaming\Microsoft\Excel\RawFlightData\DJI_202505091052_004_CR-F04-40m-a;\nexus\csiro\HB\ECE\PASSIFLORA\ecology\08_Phase2_GBINCB\02_FieldData\00_NEW%20STRUCTURE\08_RPAData\RawFlightData\DJI_202505091122_006_CR-F04-40m-b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file:///\\nexus\csiro\HB\ECE\PASSIFLORA\ecology\08_Phase2_GBINCB\02_FieldData\00_NEW%20STRUCTURE\08_RPAData\BaseStationRaw\reach01-ECE_raw_202505090034_RINEX_3_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0940-152F-4AD8-9BA2-DC97BEB6FDB2}">
  <dimension ref="A1:U16"/>
  <sheetViews>
    <sheetView workbookViewId="0">
      <selection activeCell="H8" sqref="H8"/>
    </sheetView>
  </sheetViews>
  <sheetFormatPr defaultRowHeight="14.4" x14ac:dyDescent="0.3"/>
  <cols>
    <col min="2" max="2" width="15.88671875" customWidth="1"/>
    <col min="3" max="3" width="21.21875" customWidth="1"/>
    <col min="4" max="4" width="19.44140625" customWidth="1"/>
  </cols>
  <sheetData>
    <row r="1" spans="1:21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s="2" t="s">
        <v>28</v>
      </c>
      <c r="H1" s="2" t="s">
        <v>29</v>
      </c>
      <c r="I1" s="2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s="2" t="s">
        <v>36</v>
      </c>
      <c r="P1" s="2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</row>
    <row r="2" spans="1:21" x14ac:dyDescent="0.3">
      <c r="A2" t="s">
        <v>0</v>
      </c>
      <c r="B2" t="s">
        <v>1</v>
      </c>
      <c r="C2" t="str">
        <f>B2 &amp; "-" &amp; TEXT(F2, "yyyymmdd")</f>
        <v>CR-F05-60m-20250509</v>
      </c>
      <c r="E2" t="s">
        <v>2</v>
      </c>
      <c r="F2" s="1">
        <v>45786</v>
      </c>
      <c r="G2" s="2">
        <v>0.42638888888888887</v>
      </c>
      <c r="H2" s="2">
        <v>0.4513888888888889</v>
      </c>
      <c r="I2" s="2" t="s">
        <v>3</v>
      </c>
      <c r="J2">
        <v>60</v>
      </c>
      <c r="K2">
        <v>0</v>
      </c>
      <c r="L2" t="b">
        <v>0</v>
      </c>
      <c r="M2" t="b">
        <v>0</v>
      </c>
      <c r="N2" t="s">
        <v>4</v>
      </c>
      <c r="O2" t="s">
        <v>44</v>
      </c>
      <c r="Q2" t="s">
        <v>45</v>
      </c>
      <c r="R2" s="3" t="s">
        <v>46</v>
      </c>
      <c r="S2" t="b">
        <v>0</v>
      </c>
      <c r="T2" t="b">
        <v>1</v>
      </c>
      <c r="U2" t="s">
        <v>47</v>
      </c>
    </row>
    <row r="3" spans="1:21" x14ac:dyDescent="0.3">
      <c r="A3" t="s">
        <v>0</v>
      </c>
      <c r="B3" t="s">
        <v>5</v>
      </c>
      <c r="C3" t="str">
        <f t="shared" ref="C3:C16" si="0">B3 &amp; "-" &amp; TEXT(F3, "yyyymmdd")</f>
        <v>CR-F04-40m-20250509</v>
      </c>
      <c r="E3" t="s">
        <v>2</v>
      </c>
      <c r="F3" s="1">
        <v>45786</v>
      </c>
      <c r="G3" s="2">
        <v>0.4548611111111111</v>
      </c>
      <c r="H3" s="2">
        <v>0.48125000000000001</v>
      </c>
      <c r="I3" s="2" t="s">
        <v>3</v>
      </c>
      <c r="J3">
        <v>40</v>
      </c>
      <c r="K3">
        <v>0</v>
      </c>
      <c r="L3" t="b">
        <v>0</v>
      </c>
      <c r="M3" t="b">
        <v>0</v>
      </c>
      <c r="N3" t="s">
        <v>4</v>
      </c>
      <c r="O3" t="s">
        <v>48</v>
      </c>
      <c r="P3" t="s">
        <v>49</v>
      </c>
      <c r="Q3" s="3" t="s">
        <v>50</v>
      </c>
      <c r="R3" t="s">
        <v>46</v>
      </c>
      <c r="S3" t="b">
        <v>0</v>
      </c>
      <c r="T3" t="b">
        <v>1</v>
      </c>
      <c r="U3" t="s">
        <v>51</v>
      </c>
    </row>
    <row r="4" spans="1:21" x14ac:dyDescent="0.3">
      <c r="A4" t="s">
        <v>0</v>
      </c>
      <c r="B4" t="s">
        <v>6</v>
      </c>
      <c r="C4" t="str">
        <f t="shared" si="0"/>
        <v>CR-F02-60m-20250509</v>
      </c>
      <c r="E4" t="s">
        <v>2</v>
      </c>
      <c r="F4" s="1">
        <v>45786</v>
      </c>
      <c r="G4" s="2">
        <v>0.48958333333333331</v>
      </c>
      <c r="H4" s="2">
        <v>0.51041666666666663</v>
      </c>
      <c r="I4" s="2" t="s">
        <v>3</v>
      </c>
      <c r="J4">
        <v>60</v>
      </c>
      <c r="K4">
        <v>90</v>
      </c>
      <c r="L4" t="b">
        <v>0</v>
      </c>
      <c r="M4" t="b">
        <v>0</v>
      </c>
      <c r="N4" t="s">
        <v>4</v>
      </c>
      <c r="O4" t="s">
        <v>49</v>
      </c>
      <c r="P4" t="s">
        <v>52</v>
      </c>
      <c r="Q4" s="3" t="s">
        <v>53</v>
      </c>
      <c r="R4" t="s">
        <v>46</v>
      </c>
      <c r="S4" t="b">
        <v>0</v>
      </c>
      <c r="T4" t="b">
        <v>1</v>
      </c>
      <c r="U4" t="s">
        <v>54</v>
      </c>
    </row>
    <row r="5" spans="1:21" x14ac:dyDescent="0.3">
      <c r="A5" t="s">
        <v>0</v>
      </c>
      <c r="B5" t="s">
        <v>7</v>
      </c>
      <c r="C5" t="str">
        <f t="shared" si="0"/>
        <v>CR-F01-40m-20250509</v>
      </c>
      <c r="E5" t="s">
        <v>2</v>
      </c>
      <c r="F5" s="1">
        <v>45786</v>
      </c>
      <c r="G5" s="2">
        <v>0.51249999999999996</v>
      </c>
      <c r="H5" s="2">
        <v>0.52500000000000002</v>
      </c>
      <c r="I5" s="2" t="s">
        <v>3</v>
      </c>
      <c r="J5">
        <v>40</v>
      </c>
      <c r="K5">
        <v>0</v>
      </c>
      <c r="L5" t="b">
        <v>0</v>
      </c>
      <c r="M5" t="b">
        <v>0</v>
      </c>
      <c r="N5" t="s">
        <v>4</v>
      </c>
      <c r="O5" t="s">
        <v>52</v>
      </c>
      <c r="P5" t="s">
        <v>55</v>
      </c>
      <c r="Q5" t="s">
        <v>56</v>
      </c>
      <c r="R5" t="s">
        <v>46</v>
      </c>
      <c r="S5" t="b">
        <v>0</v>
      </c>
      <c r="T5" t="b">
        <v>1</v>
      </c>
      <c r="U5" t="s">
        <v>57</v>
      </c>
    </row>
    <row r="6" spans="1:21" x14ac:dyDescent="0.3">
      <c r="A6" t="s">
        <v>8</v>
      </c>
      <c r="B6" t="s">
        <v>9</v>
      </c>
      <c r="C6" t="str">
        <f t="shared" si="0"/>
        <v>MS-F11-60m-20250512</v>
      </c>
      <c r="E6" t="s">
        <v>2</v>
      </c>
      <c r="F6" s="1">
        <v>45789</v>
      </c>
      <c r="G6" s="2" t="str">
        <f t="shared" ref="G6:G16" si="1">TEXT(TIME(MID(Q6,FIND("DJI_",Q6)+12,2), MID(Q6,FIND("DJI_",Q6)+14,2), 0), "h:mm:ss AM/PM")</f>
        <v>10:07:00 AM</v>
      </c>
      <c r="H6" s="2">
        <v>0.44305555555555554</v>
      </c>
      <c r="I6" s="2" t="s">
        <v>3</v>
      </c>
      <c r="J6">
        <v>60</v>
      </c>
      <c r="K6">
        <v>90</v>
      </c>
      <c r="L6" t="b">
        <v>0</v>
      </c>
      <c r="M6" t="b">
        <v>0</v>
      </c>
      <c r="N6" t="s">
        <v>4</v>
      </c>
      <c r="O6" t="s">
        <v>58</v>
      </c>
      <c r="P6" t="s">
        <v>59</v>
      </c>
      <c r="Q6" t="s">
        <v>60</v>
      </c>
      <c r="R6" t="s">
        <v>61</v>
      </c>
      <c r="S6" t="b">
        <v>0</v>
      </c>
      <c r="T6" t="b">
        <v>1</v>
      </c>
      <c r="U6" t="s">
        <v>62</v>
      </c>
    </row>
    <row r="7" spans="1:21" x14ac:dyDescent="0.3">
      <c r="A7" t="s">
        <v>8</v>
      </c>
      <c r="B7" t="s">
        <v>10</v>
      </c>
      <c r="C7" t="str">
        <f t="shared" si="0"/>
        <v>MS-F10-40m-20250512</v>
      </c>
      <c r="E7" t="s">
        <v>2</v>
      </c>
      <c r="F7" s="1">
        <v>45789</v>
      </c>
      <c r="G7" s="2" t="str">
        <f t="shared" si="1"/>
        <v>10:37:00 AM</v>
      </c>
      <c r="H7" s="2">
        <v>0.46180555555555558</v>
      </c>
      <c r="I7" s="2" t="s">
        <v>3</v>
      </c>
      <c r="J7">
        <v>40</v>
      </c>
      <c r="K7">
        <v>0</v>
      </c>
      <c r="L7" t="b">
        <v>0</v>
      </c>
      <c r="M7" t="b">
        <v>0</v>
      </c>
      <c r="N7" t="s">
        <v>4</v>
      </c>
      <c r="O7" t="s">
        <v>59</v>
      </c>
      <c r="P7" t="s">
        <v>63</v>
      </c>
      <c r="Q7" t="s">
        <v>64</v>
      </c>
      <c r="R7" t="s">
        <v>61</v>
      </c>
      <c r="S7" t="b">
        <v>0</v>
      </c>
      <c r="T7" t="b">
        <v>1</v>
      </c>
      <c r="U7" t="s">
        <v>65</v>
      </c>
    </row>
    <row r="8" spans="1:21" x14ac:dyDescent="0.3">
      <c r="A8" t="s">
        <v>8</v>
      </c>
      <c r="B8" t="s">
        <v>11</v>
      </c>
      <c r="C8" t="str">
        <f t="shared" si="0"/>
        <v>MS-F08-60m-20250512</v>
      </c>
      <c r="E8" t="s">
        <v>2</v>
      </c>
      <c r="F8" s="1">
        <v>45789</v>
      </c>
      <c r="G8" s="2" t="str">
        <f t="shared" si="1"/>
        <v>12:02:00 PM</v>
      </c>
      <c r="H8" s="2">
        <v>0.52777777777777779</v>
      </c>
      <c r="I8" s="2" t="s">
        <v>3</v>
      </c>
      <c r="J8">
        <v>60</v>
      </c>
      <c r="K8">
        <v>90</v>
      </c>
      <c r="L8" t="b">
        <v>0</v>
      </c>
      <c r="M8" t="b">
        <v>0</v>
      </c>
      <c r="N8" t="s">
        <v>4</v>
      </c>
      <c r="O8" t="s">
        <v>66</v>
      </c>
      <c r="P8" t="s">
        <v>67</v>
      </c>
      <c r="Q8" t="s">
        <v>68</v>
      </c>
      <c r="R8" t="s">
        <v>61</v>
      </c>
      <c r="S8" t="b">
        <v>0</v>
      </c>
      <c r="T8" t="b">
        <v>1</v>
      </c>
      <c r="U8" t="s">
        <v>69</v>
      </c>
    </row>
    <row r="9" spans="1:21" x14ac:dyDescent="0.3">
      <c r="A9" t="s">
        <v>8</v>
      </c>
      <c r="B9" t="s">
        <v>12</v>
      </c>
      <c r="C9" t="str">
        <f t="shared" si="0"/>
        <v>MS-F07-40m-20250512</v>
      </c>
      <c r="E9" t="s">
        <v>2</v>
      </c>
      <c r="F9" s="1">
        <v>45789</v>
      </c>
      <c r="G9" s="2" t="str">
        <f t="shared" si="1"/>
        <v>12:47:00 PM</v>
      </c>
      <c r="H9" s="2">
        <v>0.55347222222222225</v>
      </c>
      <c r="I9" s="2" t="s">
        <v>3</v>
      </c>
      <c r="J9">
        <v>40</v>
      </c>
      <c r="K9">
        <v>0</v>
      </c>
      <c r="L9" t="b">
        <v>0</v>
      </c>
      <c r="M9" t="b">
        <v>0</v>
      </c>
      <c r="N9" t="s">
        <v>4</v>
      </c>
      <c r="O9" t="s">
        <v>70</v>
      </c>
      <c r="P9" t="s">
        <v>71</v>
      </c>
      <c r="Q9" t="s">
        <v>72</v>
      </c>
      <c r="R9" t="s">
        <v>61</v>
      </c>
      <c r="S9" t="b">
        <v>0</v>
      </c>
      <c r="T9" t="b">
        <v>1</v>
      </c>
      <c r="U9" t="s">
        <v>73</v>
      </c>
    </row>
    <row r="10" spans="1:21" x14ac:dyDescent="0.3">
      <c r="A10" t="s">
        <v>8</v>
      </c>
      <c r="B10" t="s">
        <v>13</v>
      </c>
      <c r="C10" t="str">
        <f t="shared" si="0"/>
        <v>MS-F01-40m-20250513</v>
      </c>
      <c r="E10" t="s">
        <v>2</v>
      </c>
      <c r="F10" s="1">
        <v>45790</v>
      </c>
      <c r="G10" s="2" t="str">
        <f t="shared" si="1"/>
        <v>10:12:00 AM</v>
      </c>
      <c r="H10" s="2">
        <v>0.44861111111111113</v>
      </c>
      <c r="I10" s="2" t="s">
        <v>3</v>
      </c>
      <c r="J10">
        <v>40</v>
      </c>
      <c r="K10">
        <v>0</v>
      </c>
      <c r="L10" t="b">
        <v>0</v>
      </c>
      <c r="M10" t="b">
        <v>0</v>
      </c>
      <c r="N10" t="s">
        <v>4</v>
      </c>
      <c r="O10" t="s">
        <v>74</v>
      </c>
      <c r="P10" t="s">
        <v>75</v>
      </c>
      <c r="Q10" t="s">
        <v>76</v>
      </c>
      <c r="R10" s="3" t="s">
        <v>77</v>
      </c>
      <c r="S10" t="b">
        <v>0</v>
      </c>
      <c r="T10" t="b">
        <v>1</v>
      </c>
      <c r="U10" t="s">
        <v>78</v>
      </c>
    </row>
    <row r="11" spans="1:21" x14ac:dyDescent="0.3">
      <c r="A11" t="s">
        <v>8</v>
      </c>
      <c r="B11" t="s">
        <v>14</v>
      </c>
      <c r="C11" t="str">
        <f t="shared" si="0"/>
        <v>MS-F02-60m-20250513</v>
      </c>
      <c r="E11" t="s">
        <v>2</v>
      </c>
      <c r="F11" s="1">
        <v>45790</v>
      </c>
      <c r="G11" s="2" t="str">
        <f t="shared" si="1"/>
        <v>10:49:00 AM</v>
      </c>
      <c r="H11" s="2">
        <v>0.47222222222222221</v>
      </c>
      <c r="I11" s="2" t="s">
        <v>3</v>
      </c>
      <c r="J11">
        <v>60</v>
      </c>
      <c r="K11">
        <v>90</v>
      </c>
      <c r="L11" t="b">
        <v>0</v>
      </c>
      <c r="M11" t="b">
        <v>0</v>
      </c>
      <c r="N11" t="s">
        <v>4</v>
      </c>
      <c r="O11" t="s">
        <v>75</v>
      </c>
      <c r="P11" t="s">
        <v>79</v>
      </c>
      <c r="Q11" t="s">
        <v>80</v>
      </c>
      <c r="R11" t="s">
        <v>77</v>
      </c>
      <c r="S11" t="b">
        <v>0</v>
      </c>
      <c r="T11" t="b">
        <v>1</v>
      </c>
      <c r="U11" t="s">
        <v>81</v>
      </c>
    </row>
    <row r="12" spans="1:21" x14ac:dyDescent="0.3">
      <c r="A12" t="s">
        <v>8</v>
      </c>
      <c r="B12" t="s">
        <v>15</v>
      </c>
      <c r="C12" t="str">
        <f t="shared" si="0"/>
        <v>MS-F05-60m-20250513</v>
      </c>
      <c r="E12" t="s">
        <v>2</v>
      </c>
      <c r="F12" s="1">
        <v>45790</v>
      </c>
      <c r="G12" s="2" t="str">
        <f t="shared" si="1"/>
        <v>12:24:00 PM</v>
      </c>
      <c r="H12" s="2">
        <v>0.53611111111111109</v>
      </c>
      <c r="I12" s="2" t="s">
        <v>3</v>
      </c>
      <c r="J12">
        <v>60</v>
      </c>
      <c r="K12">
        <v>90</v>
      </c>
      <c r="L12" t="b">
        <v>0</v>
      </c>
      <c r="M12" t="b">
        <v>0</v>
      </c>
      <c r="N12" t="s">
        <v>4</v>
      </c>
      <c r="O12" t="s">
        <v>79</v>
      </c>
      <c r="P12" t="s">
        <v>82</v>
      </c>
      <c r="Q12" t="s">
        <v>83</v>
      </c>
      <c r="R12" t="s">
        <v>77</v>
      </c>
      <c r="S12" t="b">
        <v>0</v>
      </c>
      <c r="T12" t="b">
        <v>1</v>
      </c>
      <c r="U12" t="s">
        <v>84</v>
      </c>
    </row>
    <row r="13" spans="1:21" x14ac:dyDescent="0.3">
      <c r="A13" t="s">
        <v>8</v>
      </c>
      <c r="B13" t="s">
        <v>16</v>
      </c>
      <c r="C13" t="str">
        <f t="shared" si="0"/>
        <v>MS-F04-40m-20250513</v>
      </c>
      <c r="E13" t="s">
        <v>2</v>
      </c>
      <c r="F13" s="1">
        <v>45790</v>
      </c>
      <c r="G13" s="2" t="str">
        <f t="shared" si="1"/>
        <v>12:55:00 PM</v>
      </c>
      <c r="H13" s="2">
        <v>0.5625</v>
      </c>
      <c r="I13" s="2" t="s">
        <v>3</v>
      </c>
      <c r="J13">
        <v>40</v>
      </c>
      <c r="K13">
        <v>0</v>
      </c>
      <c r="L13" t="b">
        <v>0</v>
      </c>
      <c r="M13" t="b">
        <v>0</v>
      </c>
      <c r="N13" t="s">
        <v>4</v>
      </c>
      <c r="O13" t="s">
        <v>82</v>
      </c>
      <c r="P13" t="s">
        <v>85</v>
      </c>
      <c r="Q13" t="s">
        <v>86</v>
      </c>
      <c r="R13" t="s">
        <v>77</v>
      </c>
      <c r="S13" t="b">
        <v>0</v>
      </c>
      <c r="T13" t="b">
        <v>1</v>
      </c>
      <c r="U13" t="s">
        <v>87</v>
      </c>
    </row>
    <row r="14" spans="1:21" x14ac:dyDescent="0.3">
      <c r="A14" t="s">
        <v>17</v>
      </c>
      <c r="B14" t="s">
        <v>18</v>
      </c>
      <c r="C14" t="str">
        <f t="shared" si="0"/>
        <v>DG-F01-40m-20250518</v>
      </c>
      <c r="E14" t="s">
        <v>2</v>
      </c>
      <c r="F14" s="1">
        <v>45795</v>
      </c>
      <c r="G14" s="2" t="str">
        <f t="shared" si="1"/>
        <v>10:13:00 AM</v>
      </c>
      <c r="H14" s="2">
        <v>0.44444444444444442</v>
      </c>
      <c r="I14" s="2" t="s">
        <v>3</v>
      </c>
      <c r="J14">
        <v>40</v>
      </c>
      <c r="K14">
        <v>0</v>
      </c>
      <c r="L14" t="b">
        <v>0</v>
      </c>
      <c r="M14" t="b">
        <v>0</v>
      </c>
      <c r="N14" t="s">
        <v>4</v>
      </c>
      <c r="O14" t="s">
        <v>88</v>
      </c>
      <c r="P14" t="s">
        <v>89</v>
      </c>
      <c r="Q14" t="s">
        <v>90</v>
      </c>
      <c r="R14" t="s">
        <v>91</v>
      </c>
      <c r="S14" t="b">
        <v>0</v>
      </c>
      <c r="T14" t="b">
        <v>1</v>
      </c>
      <c r="U14" t="s">
        <v>92</v>
      </c>
    </row>
    <row r="15" spans="1:21" x14ac:dyDescent="0.3">
      <c r="A15" t="s">
        <v>17</v>
      </c>
      <c r="B15" t="s">
        <v>19</v>
      </c>
      <c r="C15" t="str">
        <f t="shared" si="0"/>
        <v>DG-F02-60m-20250518</v>
      </c>
      <c r="E15" t="s">
        <v>2</v>
      </c>
      <c r="F15" s="1">
        <v>45795</v>
      </c>
      <c r="G15" s="2" t="str">
        <f t="shared" si="1"/>
        <v>10:53:00 AM</v>
      </c>
      <c r="H15" s="2">
        <v>0.47222222222222221</v>
      </c>
      <c r="I15" s="2" t="s">
        <v>3</v>
      </c>
      <c r="J15">
        <v>60</v>
      </c>
      <c r="K15">
        <v>90</v>
      </c>
      <c r="L15" t="b">
        <v>0</v>
      </c>
      <c r="M15" t="b">
        <v>0</v>
      </c>
      <c r="N15" t="s">
        <v>4</v>
      </c>
      <c r="O15" t="s">
        <v>89</v>
      </c>
      <c r="P15" t="s">
        <v>93</v>
      </c>
      <c r="Q15" t="s">
        <v>94</v>
      </c>
      <c r="R15" t="s">
        <v>91</v>
      </c>
      <c r="S15" t="b">
        <v>0</v>
      </c>
      <c r="T15" t="b">
        <v>1</v>
      </c>
      <c r="U15" t="s">
        <v>95</v>
      </c>
    </row>
    <row r="16" spans="1:21" x14ac:dyDescent="0.3">
      <c r="A16" t="s">
        <v>17</v>
      </c>
      <c r="B16" t="s">
        <v>20</v>
      </c>
      <c r="C16" t="str">
        <f t="shared" si="0"/>
        <v>DG-F05-60m-20250518</v>
      </c>
      <c r="D16" t="s">
        <v>21</v>
      </c>
      <c r="E16" t="s">
        <v>2</v>
      </c>
      <c r="F16" s="1">
        <v>45795</v>
      </c>
      <c r="G16" s="2" t="str">
        <f t="shared" si="1"/>
        <v>11:53:00 AM</v>
      </c>
      <c r="H16" s="2">
        <v>0.51736111111111116</v>
      </c>
      <c r="I16" s="2" t="s">
        <v>3</v>
      </c>
      <c r="J16">
        <v>60</v>
      </c>
      <c r="K16">
        <v>90</v>
      </c>
      <c r="L16" t="b">
        <v>0</v>
      </c>
      <c r="M16" t="b">
        <v>0</v>
      </c>
      <c r="N16" t="s">
        <v>4</v>
      </c>
      <c r="O16" t="s">
        <v>96</v>
      </c>
      <c r="P16" t="s">
        <v>97</v>
      </c>
      <c r="Q16" t="s">
        <v>98</v>
      </c>
      <c r="R16" t="s">
        <v>91</v>
      </c>
      <c r="S16" t="b">
        <v>0</v>
      </c>
      <c r="T16" t="b">
        <v>1</v>
      </c>
      <c r="U16" t="s">
        <v>99</v>
      </c>
    </row>
  </sheetData>
  <hyperlinks>
    <hyperlink ref="Q3" r:id="rId1" display="\\nexus\csiro\HB\ECE\PASSIFLORA\ecology\08_Phase2_GBINCB\02_FieldData\00_NEW STRUCTURE\08_RPAData\RawFlightData\DJI_202505091052_004_CR-F04-40m-a;\\nexus\csiro\HB\ECE\PASSIFLORA\ecology\08_Phase2_GBINCB\02_FieldData\00_NEW STRUCTURE\08_RPAData\RawFlightData\DJI_202505091122_006_CR-F04-40m-b" xr:uid="{16B49A65-1641-46E0-9A6F-664DD7AFE905}"/>
    <hyperlink ref="Q4" r:id="rId2" display="\\nexus\csiro\HB\ECE\PASSIFLORA\ecology\08_Phase2_GBINCB\02_FieldData\00_NEW STRUCTURE\08_RPAData\RawFlightData\DJI_202505091148_001_CR-F02-60m-a;\\nexus\csiro\HB\ECE\PASSIFLORA\ecology\08_Phase2_GBINCB\02_FieldData\00_NEW STRUCTURE\08_RPAData\RawFlightData\DJI_202505091148_008_CR-F02-60m-b" xr:uid="{659CB6CA-77E9-4185-9319-DEAE2248E84D}"/>
    <hyperlink ref="R10" r:id="rId3" display="\\nexus\csiro\HB\ECE\PASSIFLORA\ecology\08_Phase2_GBINCB\02_FieldData\00_NEW STRUCTURE\08_RPAData\BaseStationRaw\reach01-ECE_raw_202505130017_RINEX_3_01" xr:uid="{6A6AA98F-699B-4A90-BA59-E4D9BADA6226}"/>
    <hyperlink ref="R2" r:id="rId4" display="\\nexus\csiro\HB\ECE\PASSIFLORA\ecology\08_Phase2_GBINCB\02_FieldData\00_NEW STRUCTURE\08_RPAData\BaseStationRaw\reach01-ECE_raw_202505090034_RINEX_3_01" xr:uid="{985AADC2-3916-4C5F-9DCE-AB0F86BC29D1}"/>
  </hyperlinks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FD5A-B13F-46A8-97A6-5964A7908DD2}">
  <dimension ref="A1:X6"/>
  <sheetViews>
    <sheetView tabSelected="1" workbookViewId="0">
      <selection sqref="A1:XFD1048576"/>
    </sheetView>
  </sheetViews>
  <sheetFormatPr defaultColWidth="23.44140625" defaultRowHeight="14.4" x14ac:dyDescent="0.3"/>
  <sheetData>
    <row r="1" spans="1:24" s="4" customFormat="1" ht="57.6" x14ac:dyDescent="0.3">
      <c r="A1" s="4" t="s">
        <v>100</v>
      </c>
      <c r="B1" s="4" t="s">
        <v>101</v>
      </c>
      <c r="C1" s="4" t="s">
        <v>102</v>
      </c>
      <c r="D1" s="4" t="s">
        <v>103</v>
      </c>
      <c r="E1" s="4" t="s">
        <v>104</v>
      </c>
      <c r="F1" s="4" t="s">
        <v>105</v>
      </c>
      <c r="G1" s="4" t="s">
        <v>106</v>
      </c>
      <c r="H1" s="4" t="s">
        <v>107</v>
      </c>
      <c r="I1" s="4" t="s">
        <v>108</v>
      </c>
      <c r="J1" s="4" t="s">
        <v>109</v>
      </c>
      <c r="K1" s="4" t="s">
        <v>110</v>
      </c>
      <c r="L1" s="4" t="s">
        <v>111</v>
      </c>
      <c r="M1" s="4" t="s">
        <v>112</v>
      </c>
      <c r="N1" s="4" t="s">
        <v>113</v>
      </c>
      <c r="O1" s="4" t="s">
        <v>114</v>
      </c>
      <c r="P1" s="4" t="s">
        <v>115</v>
      </c>
      <c r="Q1" s="4" t="s">
        <v>116</v>
      </c>
      <c r="R1" s="4" t="s">
        <v>117</v>
      </c>
      <c r="S1" s="4" t="s">
        <v>118</v>
      </c>
      <c r="T1" s="4" t="s">
        <v>119</v>
      </c>
      <c r="U1" s="4" t="s">
        <v>120</v>
      </c>
      <c r="V1" s="4" t="s">
        <v>121</v>
      </c>
      <c r="W1" s="4" t="s">
        <v>122</v>
      </c>
      <c r="X1" s="4" t="s">
        <v>43</v>
      </c>
    </row>
    <row r="2" spans="1:24" x14ac:dyDescent="0.3">
      <c r="A2" t="s">
        <v>123</v>
      </c>
      <c r="B2" s="5">
        <v>45755.154166666667</v>
      </c>
      <c r="C2" s="5">
        <v>45755.309027777781</v>
      </c>
      <c r="D2" s="5">
        <v>45755.487500000003</v>
      </c>
      <c r="E2" s="5">
        <v>45755.642361111109</v>
      </c>
      <c r="F2">
        <v>147</v>
      </c>
      <c r="G2">
        <v>-2353250.4139999999</v>
      </c>
      <c r="H2">
        <v>4857575.7889999999</v>
      </c>
      <c r="I2">
        <v>-3386615.6260000002</v>
      </c>
      <c r="J2" t="s">
        <v>124</v>
      </c>
      <c r="K2" t="s">
        <v>125</v>
      </c>
      <c r="L2">
        <v>-26.606999999999999</v>
      </c>
      <c r="M2">
        <v>5.5149999999999997</v>
      </c>
      <c r="N2">
        <v>391500.69400000002</v>
      </c>
      <c r="O2">
        <v>6428054.2620000001</v>
      </c>
      <c r="P2">
        <v>50</v>
      </c>
      <c r="Q2">
        <v>-26.606999999999999</v>
      </c>
      <c r="R2">
        <v>5.5149999999999997</v>
      </c>
      <c r="S2">
        <v>0.02</v>
      </c>
      <c r="T2">
        <v>1.7999999999999999E-2</v>
      </c>
      <c r="U2">
        <v>2.3E-2</v>
      </c>
      <c r="V2">
        <v>6.3E-2</v>
      </c>
      <c r="W2">
        <v>0.183</v>
      </c>
    </row>
    <row r="3" spans="1:24" x14ac:dyDescent="0.3">
      <c r="A3" t="s">
        <v>126</v>
      </c>
      <c r="B3" s="5">
        <v>45786.024305555555</v>
      </c>
      <c r="C3" s="5">
        <v>45786.227083333331</v>
      </c>
      <c r="D3" s="5">
        <v>45786.357638888891</v>
      </c>
      <c r="E3" s="5">
        <v>45786.560416666667</v>
      </c>
      <c r="F3">
        <v>147</v>
      </c>
      <c r="G3">
        <v>-2398951.0469999998</v>
      </c>
      <c r="H3">
        <v>5406828.3030000003</v>
      </c>
      <c r="I3">
        <v>-2377752.8909999998</v>
      </c>
      <c r="J3" t="s">
        <v>127</v>
      </c>
      <c r="K3" t="s">
        <v>128</v>
      </c>
      <c r="L3">
        <v>-4.7960000000000003</v>
      </c>
      <c r="M3">
        <v>9.86</v>
      </c>
      <c r="N3">
        <v>802085.50399999996</v>
      </c>
      <c r="O3">
        <v>7560674.1660000002</v>
      </c>
      <c r="P3">
        <v>49</v>
      </c>
      <c r="Q3">
        <v>-4.7960000000000003</v>
      </c>
      <c r="R3">
        <v>9.86</v>
      </c>
      <c r="S3">
        <v>1.2999999999999999E-2</v>
      </c>
      <c r="T3">
        <v>1.2E-2</v>
      </c>
      <c r="U3">
        <v>1.4999999999999999E-2</v>
      </c>
      <c r="V3">
        <v>3.7999999999999999E-2</v>
      </c>
      <c r="W3">
        <v>0.19900000000000001</v>
      </c>
    </row>
    <row r="4" spans="1:24" x14ac:dyDescent="0.3">
      <c r="A4" t="s">
        <v>129</v>
      </c>
      <c r="B4" s="5">
        <v>45789.09097222222</v>
      </c>
      <c r="C4" s="5">
        <v>45789.42291666667</v>
      </c>
      <c r="D4" s="5">
        <v>45789.424305555556</v>
      </c>
      <c r="E4" s="5">
        <v>45789.756249999999</v>
      </c>
      <c r="F4">
        <v>147</v>
      </c>
      <c r="G4">
        <v>-2702889.8670000001</v>
      </c>
      <c r="H4">
        <v>5281154.82</v>
      </c>
      <c r="I4">
        <v>-2334818.9610000001</v>
      </c>
      <c r="J4" t="s">
        <v>130</v>
      </c>
      <c r="K4" t="s">
        <v>131</v>
      </c>
      <c r="L4">
        <v>289.71199999999999</v>
      </c>
      <c r="M4">
        <v>296.62400000000002</v>
      </c>
      <c r="N4">
        <v>510693.63500000001</v>
      </c>
      <c r="O4">
        <v>7609913.0190000003</v>
      </c>
      <c r="P4">
        <v>50</v>
      </c>
      <c r="Q4">
        <v>289.71199999999999</v>
      </c>
      <c r="R4">
        <v>296.62400000000002</v>
      </c>
      <c r="S4">
        <v>1.0999999999999999E-2</v>
      </c>
      <c r="T4">
        <v>1.0999999999999999E-2</v>
      </c>
      <c r="U4">
        <v>1.4E-2</v>
      </c>
      <c r="V4">
        <v>3.4000000000000002E-2</v>
      </c>
      <c r="W4">
        <v>0.19700000000000001</v>
      </c>
    </row>
    <row r="5" spans="1:24" x14ac:dyDescent="0.3">
      <c r="A5" t="s">
        <v>132</v>
      </c>
      <c r="B5" s="5">
        <v>45790.012499999997</v>
      </c>
      <c r="C5" s="5">
        <v>45790.345833333333</v>
      </c>
      <c r="D5" s="5">
        <v>45790.345833333333</v>
      </c>
      <c r="E5" s="5">
        <v>45790.679166666669</v>
      </c>
      <c r="F5">
        <v>147</v>
      </c>
      <c r="G5">
        <v>-2700078.236</v>
      </c>
      <c r="H5">
        <v>5283769.3310000002</v>
      </c>
      <c r="I5">
        <v>-2332160.0610000002</v>
      </c>
      <c r="J5" t="s">
        <v>133</v>
      </c>
      <c r="K5" t="s">
        <v>134</v>
      </c>
      <c r="L5">
        <v>284.87799999999999</v>
      </c>
      <c r="M5">
        <v>291.87900000000002</v>
      </c>
      <c r="N5">
        <v>507003.13299999997</v>
      </c>
      <c r="O5">
        <v>7612771.5999999996</v>
      </c>
      <c r="P5">
        <v>50</v>
      </c>
      <c r="Q5">
        <v>284.87799999999999</v>
      </c>
      <c r="R5">
        <v>291.87900000000002</v>
      </c>
      <c r="S5">
        <v>1.2E-2</v>
      </c>
      <c r="T5">
        <v>1.2E-2</v>
      </c>
      <c r="U5">
        <v>1.4999999999999999E-2</v>
      </c>
      <c r="V5">
        <v>3.9E-2</v>
      </c>
      <c r="W5">
        <v>0.19700000000000001</v>
      </c>
    </row>
    <row r="6" spans="1:24" x14ac:dyDescent="0.3">
      <c r="A6" t="s">
        <v>135</v>
      </c>
      <c r="B6" s="5">
        <v>45795.063888888886</v>
      </c>
      <c r="C6" s="5">
        <v>45795.397222222222</v>
      </c>
      <c r="D6" s="5">
        <v>45795.397222222222</v>
      </c>
      <c r="E6" s="5">
        <v>45795.730555555558</v>
      </c>
      <c r="F6">
        <v>147</v>
      </c>
      <c r="G6">
        <v>-3538308.108</v>
      </c>
      <c r="H6">
        <v>4925179.1469999999</v>
      </c>
      <c r="I6">
        <v>-1969560.557</v>
      </c>
      <c r="J6" t="s">
        <v>136</v>
      </c>
      <c r="K6" t="s">
        <v>137</v>
      </c>
      <c r="L6">
        <v>132.81100000000001</v>
      </c>
      <c r="M6">
        <v>108.96299999999999</v>
      </c>
      <c r="N6">
        <v>785100.44700000004</v>
      </c>
      <c r="O6">
        <v>7996023.7740000002</v>
      </c>
      <c r="P6">
        <v>51</v>
      </c>
      <c r="Q6">
        <v>132.81100000000001</v>
      </c>
      <c r="R6">
        <v>108.96299999999999</v>
      </c>
      <c r="S6">
        <v>1.4E-2</v>
      </c>
      <c r="T6">
        <v>1.4E-2</v>
      </c>
      <c r="U6">
        <v>1.7999999999999999E-2</v>
      </c>
      <c r="V6">
        <v>6.3E-2</v>
      </c>
      <c r="W6">
        <v>0.19500000000000001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Flight details</vt:lpstr>
      <vt:lpstr>ReachCorrectionsAusPos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Eckersley, Jake (H&amp;B, Floreat)</dc:creator>
  <cp:lastModifiedBy>Eckersley, Jake (H&amp;B, Floreat)</cp:lastModifiedBy>
  <dcterms:created xsi:type="dcterms:W3CDTF">2025-12-03T13:39:23Z</dcterms:created>
  <dcterms:modified xsi:type="dcterms:W3CDTF">2025-12-03T13:46:23Z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2025-12-03T13:46:23Z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991c30ca-fd2c-424a-bf0b-8d9b7b1ca3d8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